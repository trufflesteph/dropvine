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Pricing Your Time" sheetId="2" state="visible" r:id="rId4"/>
    <sheet name="Pricing Calculato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<sst xmlns="http://schemas.openxmlformats.org/spreadsheetml/2006/main" count="43" uniqueCount="43">
  <si>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🍞  What Should I Charge?</t>
  </si>
  <si>
    <t xml:space="preserve">A friendly pricing calculator for makers, bakers &amp; small-batch sellers — by Dropvine</t>
  </si>
  <si>
    <t xml:space="preserve">1</t>
  </si>
  <si>
    <t xml:space="preserve">Open the "Pricing Your Time" tab first if you're not sure what to charge for your labor.</t>
  </si>
  <si>
    <t xml:space="preserve">2</t>
  </si>
  <si>
    <t xml:space="preserve">Go to "Pricing Calculator" and fill in your costs for each product — ingredients, packaging, and labor.</t>
  </si>
  <si>
    <t xml:space="preserve">3</t>
  </si>
  <si>
    <t xml:space="preserve">Set your buffer (a cushion for waste/overhead) and your target margin — how much profit you want to keep.</t>
  </si>
  <si>
    <t xml:space="preserve">4</t>
  </si>
  <si>
    <t xml:space="preserve">Your suggested price fills in automatically. Round it to a clean number before you post it.</t>
  </si>
  <si>
    <t xml:space="preserve">💡  Three examples are already filled in — a bakery item, a ceramics piece, and a workshop seat — so you can see it working before you touch anything.</t>
  </si>
  <si>
    <t xml:space="preserve">🌱  Made with love by Dropvine — the pre-order tool for independent makers · dropvine.pro</t>
  </si>
  <si>
    <t xml:space="preserve">⏱  What's Your Time Worth?</t>
  </si>
  <si>
    <t xml:space="preserve">The hardest number to name — and the most important one to get right.</t>
  </si>
  <si>
    <t xml:space="preserve">Hands-on time vs. waiting time</t>
  </si>
  <si>
    <t xml:space="preserve">Active / hands-on</t>
  </si>
  <si>
    <t xml:space="preserve">Decorating, kneading, throwing on the wheel, teaching, cutting, assembling — time only you can give.</t>
  </si>
  <si>
    <t xml:space="preserve">Passive / waiting</t>
  </si>
  <si>
    <t xml:space="preserve">Dough rising, kiln firing, cooling, curing — time the product needs but your hands don't. Charge less for this (or not at all).</t>
  </si>
  <si>
    <t xml:space="preserve">Figure out your hourly rate</t>
  </si>
  <si>
    <t xml:space="preserve">What would you pay someone else to do this job?</t>
  </si>
  <si>
    <t xml:space="preserve">What do you need to earn per hour to feel good about it?</t>
  </si>
  <si>
    <t xml:space="preserve">→ Your labor rate (enter it in the Pricing Calculator):</t>
  </si>
  <si>
    <t xml:space="preserve">🌱  Built by Dropvine — dropvine.pro</t>
  </si>
  <si>
    <t xml:space="preserve">🍞 🏺 ✂️  Pricing Calculator</t>
  </si>
  <si>
    <t xml:space="preserve">YOUR COSTS</t>
  </si>
  <si>
    <t xml:space="preserve">YOUR PRICE</t>
  </si>
  <si>
    <t xml:space="preserve">Product</t>
  </si>
  <si>
    <t xml:space="preserve">Ingredients /
Materials ($)</t>
  </si>
  <si>
    <t xml:space="preserve">Packaging ($)</t>
  </si>
  <si>
    <t xml:space="preserve">Labor
(hrs)</t>
  </si>
  <si>
    <t xml:space="preserve">Labor Rate
($/hr)</t>
  </si>
  <si>
    <t xml:space="preserve">Labor Cost ($)</t>
  </si>
  <si>
    <t xml:space="preserve">Buffer
(%)</t>
  </si>
  <si>
    <t xml:space="preserve">Total Cost ($)</t>
  </si>
  <si>
    <t xml:space="preserve">Target
Margin (%)</t>
  </si>
  <si>
    <t xml:space="preserve">Suggested
Price ($)</t>
  </si>
  <si>
    <t xml:space="preserve">Profit /
Unit ($)</t>
  </si>
  <si>
    <t xml:space="preserve">Margin
Check</t>
  </si>
  <si>
    <t xml:space="preserve">🍞  Sourdough Loaf</t>
  </si>
  <si>
    <t xml:space="preserve">🏺  Ceramic Mug</t>
  </si>
  <si>
    <t xml:space="preserve">✂️  Workshop Seat</t>
  </si>
  <si>
    <t xml:space="preserve">Gold cells are your assumptions — buffer % and margin %. See "Start Here" for guidance. Not sure about your rate? Check the "Pricing Your Time" tab.  🌱  Dropvine — dropvine.pro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</si>
</sst>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;\-"/>
    <numFmt numFmtId="166" formatCode="0.00"/>
    <numFmt numFmtId="167" formatCode="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B3A6B"/>
      <name val="Arial"/>
      <family val="0"/>
      <charset val="1"/>
    </font>
    <font>
      <i val="true"/>
      <sz val="12"/>
      <color rgb="FF8C847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color rgb="FF3A3630"/>
      <name val="Arial"/>
      <family val="0"/>
      <charset val="1"/>
    </font>
    <font>
      <i val="true"/>
      <sz val="11"/>
      <color rgb="FF3F6B4A"/>
      <name val="Arial"/>
      <family val="0"/>
      <charset val="1"/>
    </font>
    <font>
      <i val="true"/>
      <sz val="10"/>
      <color rgb="FF8C8478"/>
      <name val="Arial"/>
      <family val="0"/>
      <charset val="1"/>
    </font>
    <font>
      <b val="true"/>
      <sz val="20"/>
      <color rgb="FF1B3A6B"/>
      <name val="Arial"/>
      <family val="0"/>
      <charset val="1"/>
    </font>
    <font>
      <b val="true"/>
      <sz val="13"/>
      <color rgb="FF1B3A6B"/>
      <name val="Arial"/>
      <family val="0"/>
      <charset val="1"/>
    </font>
    <font>
      <b val="true"/>
      <sz val="11"/>
      <color rgb="FF3F6B4A"/>
      <name val="Arial"/>
      <family val="0"/>
      <charset val="1"/>
    </font>
    <font>
      <b val="true"/>
      <sz val="11"/>
      <color rgb="FF8A5A2B"/>
      <name val="Arial"/>
      <family val="0"/>
      <charset val="1"/>
    </font>
    <font>
      <sz val="11"/>
      <color rgb="FF1450D6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0"/>
      <color rgb="FF3F6B4A"/>
      <name val="Arial"/>
      <family val="0"/>
      <charset val="1"/>
    </font>
    <font>
      <b val="true"/>
      <sz val="10"/>
      <color rgb="FF8A5A2B"/>
      <name val="Arial"/>
      <family val="0"/>
      <charset val="1"/>
    </font>
    <font>
      <b val="true"/>
      <sz val="9"/>
      <color rgb="FF3A3630"/>
      <name val="Arial"/>
      <family val="0"/>
      <charset val="1"/>
    </font>
    <font>
      <b val="true"/>
      <sz val="11"/>
      <color rgb="FF3A3630"/>
      <name val="Arial"/>
      <family val="0"/>
      <charset val="1"/>
    </font>
    <font>
      <b val="true"/>
      <sz val="12"/>
      <color rgb="FF1B3A6B"/>
      <name val="Arial"/>
      <family val="0"/>
      <charset val="1"/>
    </font>
    <font>
      <i val="true"/>
      <sz val="9"/>
      <color rgb="FF8C847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BF6EE"/>
        <bgColor rgb="FFFFFFFF"/>
      </patternFill>
    </fill>
    <fill>
      <patternFill patternType="solid">
        <fgColor rgb="FF1B3A6B"/>
        <bgColor rgb="FF333399"/>
      </patternFill>
    </fill>
    <fill>
      <patternFill patternType="solid">
        <fgColor rgb="FFDCE8D8"/>
        <bgColor rgb="FFE4DCCB"/>
      </patternFill>
    </fill>
    <fill>
      <patternFill patternType="solid">
        <fgColor rgb="FFF6E4C4"/>
        <bgColor rgb="FFFCEFD4"/>
      </patternFill>
    </fill>
    <fill>
      <patternFill patternType="solid">
        <fgColor rgb="FFFCEFD4"/>
        <bgColor rgb="FFF3ECE0"/>
      </patternFill>
    </fill>
    <fill>
      <patternFill patternType="solid">
        <fgColor rgb="FFF3ECE0"/>
        <bgColor rgb="FFFCEFD4"/>
      </patternFill>
    </fill>
    <fill>
      <patternFill patternType="solid">
        <fgColor rgb="FFFFFFFF"/>
        <bgColor rgb="FFFBF6E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4DCC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5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2B"/>
      <rgbColor rgb="FF800080"/>
      <rgbColor rgb="FF008080"/>
      <rgbColor rgb="FFC0C0C0"/>
      <rgbColor rgb="FF8C8478"/>
      <rgbColor rgb="FF9999FF"/>
      <rgbColor rgb="FF993366"/>
      <rgbColor rgb="FFFCEFD4"/>
      <rgbColor rgb="FFFBF6EE"/>
      <rgbColor rgb="FF660066"/>
      <rgbColor rgb="FFFF8080"/>
      <rgbColor rgb="FF1450D6"/>
      <rgbColor rgb="FFE4DCC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ECE0"/>
      <rgbColor rgb="FFDCE8D8"/>
      <rgbColor rgb="FFFFFF99"/>
      <rgbColor rgb="FF99CCFF"/>
      <rgbColor rgb="FFFF99CC"/>
      <rgbColor rgb="FFCC99FF"/>
      <rgbColor rgb="FFF6E4C4"/>
      <rgbColor rgb="FF3366FF"/>
      <rgbColor rgb="FF33CCCC"/>
      <rgbColor rgb="FF99CC00"/>
      <rgbColor rgb="FFFFCC00"/>
      <rgbColor rgb="FFFF9900"/>
      <rgbColor rgb="FFFF6600"/>
      <rgbColor rgb="FF3F6B4A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A36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7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36" hidden="false" customHeight="true" outlineLevel="0" collapsed="false">
      <c r="A2" s="2" t="s">
        <v>0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3" t="s">
        <v>1</v>
      </c>
      <c r="B6" s="3"/>
      <c r="C6" s="3"/>
      <c r="D6" s="3"/>
      <c r="E6" s="3"/>
      <c r="F6" s="3"/>
      <c r="G6" s="3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</row>
    <row r="8" customFormat="false" ht="15.75" hidden="false" customHeight="true" outlineLevel="0" collapsed="false">
      <c r="A8" s="4" t="s">
        <v>2</v>
      </c>
      <c r="B8" s="5" t="s">
        <v>3</v>
      </c>
      <c r="C8" s="5"/>
      <c r="D8" s="5"/>
      <c r="E8" s="5"/>
      <c r="F8" s="5"/>
      <c r="G8" s="5"/>
    </row>
    <row r="9" customFormat="false" ht="15.75" hidden="false" customHeight="true" outlineLevel="0" collapsed="false">
      <c r="A9" s="4"/>
      <c r="B9" s="4"/>
      <c r="C9" s="5"/>
      <c r="D9" s="5"/>
      <c r="E9" s="5"/>
      <c r="F9" s="5"/>
      <c r="G9" s="5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</row>
    <row r="11" customFormat="false" ht="15.75" hidden="false" customHeight="true" outlineLevel="0" collapsed="false">
      <c r="A11" s="4" t="s">
        <v>4</v>
      </c>
      <c r="B11" s="5" t="s">
        <v>5</v>
      </c>
      <c r="C11" s="5"/>
      <c r="D11" s="5"/>
      <c r="E11" s="5"/>
      <c r="F11" s="5"/>
      <c r="G11" s="5"/>
    </row>
    <row r="12" customFormat="false" ht="15.75" hidden="false" customHeight="true" outlineLevel="0" collapsed="false">
      <c r="A12" s="4"/>
      <c r="B12" s="4"/>
      <c r="C12" s="5"/>
      <c r="D12" s="5"/>
      <c r="E12" s="5"/>
      <c r="F12" s="5"/>
      <c r="G12" s="5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</row>
    <row r="14" customFormat="false" ht="15.75" hidden="false" customHeight="true" outlineLevel="0" collapsed="false">
      <c r="A14" s="4" t="s">
        <v>6</v>
      </c>
      <c r="B14" s="5" t="s">
        <v>7</v>
      </c>
      <c r="C14" s="5"/>
      <c r="D14" s="5"/>
      <c r="E14" s="5"/>
      <c r="F14" s="5"/>
      <c r="G14" s="5"/>
    </row>
    <row r="15" customFormat="false" ht="15.75" hidden="false" customHeight="true" outlineLevel="0" collapsed="false">
      <c r="A15" s="4"/>
      <c r="B15" s="4"/>
      <c r="C15" s="5"/>
      <c r="D15" s="5"/>
      <c r="E15" s="5"/>
      <c r="F15" s="5"/>
      <c r="G15" s="5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</row>
    <row r="17" customFormat="false" ht="15.75" hidden="false" customHeight="true" outlineLevel="0" collapsed="false">
      <c r="A17" s="4" t="s">
        <v>8</v>
      </c>
      <c r="B17" s="5" t="s">
        <v>9</v>
      </c>
      <c r="C17" s="5"/>
      <c r="D17" s="5"/>
      <c r="E17" s="5"/>
      <c r="F17" s="5"/>
      <c r="G17" s="5"/>
    </row>
    <row r="18" customFormat="false" ht="15.75" hidden="false" customHeight="true" outlineLevel="0" collapsed="false">
      <c r="A18" s="4"/>
      <c r="B18" s="4"/>
      <c r="C18" s="5"/>
      <c r="D18" s="5"/>
      <c r="E18" s="5"/>
      <c r="F18" s="5"/>
      <c r="G18" s="5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</row>
    <row r="21" customFormat="false" ht="30" hidden="false" customHeight="true" outlineLevel="0" collapsed="false">
      <c r="A21" s="6" t="s">
        <v>10</v>
      </c>
      <c r="B21" s="6"/>
      <c r="C21" s="6"/>
      <c r="D21" s="6"/>
      <c r="E21" s="6"/>
      <c r="F21" s="6"/>
      <c r="G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</row>
    <row r="25" customFormat="false" ht="15" hidden="false" customHeight="false" outlineLevel="0" collapsed="false">
      <c r="A25" s="7" t="s">
        <v>11</v>
      </c>
      <c r="B25" s="7"/>
      <c r="C25" s="7"/>
      <c r="D25" s="7"/>
      <c r="E25" s="7"/>
      <c r="F25" s="7"/>
      <c r="G25" s="7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</row>
  </sheetData>
  <mergeCells count="12">
    <mergeCell ref="A2:G5"/>
    <mergeCell ref="A6:G6"/>
    <mergeCell ref="A8:A9"/>
    <mergeCell ref="B8:G9"/>
    <mergeCell ref="A11:A12"/>
    <mergeCell ref="B11:G12"/>
    <mergeCell ref="A14:A15"/>
    <mergeCell ref="B14:G15"/>
    <mergeCell ref="A17:A18"/>
    <mergeCell ref="B17:G18"/>
    <mergeCell ref="A21:G22"/>
    <mergeCell ref="A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8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8" t="s">
        <v>12</v>
      </c>
      <c r="B2" s="8"/>
      <c r="C2" s="8"/>
      <c r="D2" s="8"/>
      <c r="E2" s="8"/>
      <c r="F2" s="8"/>
      <c r="G2" s="8"/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</row>
    <row r="5" customFormat="false" ht="15" hidden="false" customHeight="false" outlineLevel="0" collapsed="false">
      <c r="A5" s="9" t="s">
        <v>13</v>
      </c>
      <c r="B5" s="9"/>
      <c r="C5" s="9"/>
      <c r="D5" s="9"/>
      <c r="E5" s="9"/>
      <c r="F5" s="9"/>
      <c r="G5" s="9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</row>
    <row r="7" customFormat="false" ht="16.15" hidden="false" customHeight="false" outlineLevel="0" collapsed="false">
      <c r="A7" s="10" t="s">
        <v>14</v>
      </c>
      <c r="B7" s="10"/>
      <c r="C7" s="10"/>
      <c r="D7" s="10"/>
      <c r="E7" s="10"/>
      <c r="F7" s="10"/>
      <c r="G7" s="10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</row>
    <row r="9" customFormat="false" ht="18" hidden="false" customHeight="true" outlineLevel="0" collapsed="false">
      <c r="A9" s="11" t="s">
        <v>15</v>
      </c>
      <c r="B9" s="11"/>
      <c r="C9" s="12" t="s">
        <v>16</v>
      </c>
      <c r="D9" s="12"/>
      <c r="E9" s="12"/>
      <c r="F9" s="12"/>
      <c r="G9" s="12"/>
    </row>
    <row r="10" customFormat="false" ht="18" hidden="false" customHeight="true" outlineLevel="0" collapsed="false">
      <c r="A10" s="11"/>
      <c r="B10" s="11"/>
      <c r="C10" s="12"/>
      <c r="D10" s="12"/>
      <c r="E10" s="12"/>
      <c r="F10" s="12"/>
      <c r="G10" s="12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</row>
    <row r="12" customFormat="false" ht="18" hidden="false" customHeight="true" outlineLevel="0" collapsed="false">
      <c r="A12" s="13" t="s">
        <v>17</v>
      </c>
      <c r="B12" s="13"/>
      <c r="C12" s="14" t="s">
        <v>18</v>
      </c>
      <c r="D12" s="14"/>
      <c r="E12" s="14"/>
      <c r="F12" s="14"/>
      <c r="G12" s="14"/>
    </row>
    <row r="13" customFormat="false" ht="18" hidden="false" customHeight="true" outlineLevel="0" collapsed="false">
      <c r="A13" s="13"/>
      <c r="B13" s="13"/>
      <c r="C13" s="14"/>
      <c r="D13" s="14"/>
      <c r="E13" s="14"/>
      <c r="F13" s="14"/>
      <c r="G13" s="14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</row>
    <row r="16" customFormat="false" ht="16.15" hidden="false" customHeight="false" outlineLevel="0" collapsed="false">
      <c r="A16" s="10" t="s">
        <v>19</v>
      </c>
      <c r="B16" s="10"/>
      <c r="C16" s="10"/>
      <c r="D16" s="10"/>
      <c r="E16" s="10"/>
      <c r="F16" s="10"/>
      <c r="G16" s="10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</row>
    <row r="18" customFormat="false" ht="19.5" hidden="false" customHeight="true" outlineLevel="0" collapsed="false">
      <c r="A18" s="15" t="s">
        <v>20</v>
      </c>
      <c r="B18" s="15"/>
      <c r="C18" s="15"/>
      <c r="D18" s="16"/>
      <c r="E18" s="1"/>
      <c r="F18" s="1"/>
      <c r="G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</row>
    <row r="20" customFormat="false" ht="19.5" hidden="false" customHeight="true" outlineLevel="0" collapsed="false">
      <c r="A20" s="15" t="s">
        <v>21</v>
      </c>
      <c r="B20" s="15"/>
      <c r="C20" s="15"/>
      <c r="D20" s="16"/>
      <c r="E20" s="1"/>
      <c r="F20" s="1"/>
      <c r="G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</row>
    <row r="22" customFormat="false" ht="19.5" hidden="false" customHeight="true" outlineLevel="0" collapsed="false">
      <c r="A22" s="15" t="s">
        <v>22</v>
      </c>
      <c r="B22" s="15"/>
      <c r="C22" s="15"/>
      <c r="D22" s="17"/>
      <c r="E22" s="1"/>
      <c r="F22" s="1"/>
      <c r="G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</row>
    <row r="26" customFormat="false" ht="15" hidden="false" customHeight="false" outlineLevel="0" collapsed="false">
      <c r="A26" s="7" t="s">
        <v>23</v>
      </c>
      <c r="B26" s="7"/>
      <c r="C26" s="7"/>
      <c r="D26" s="7"/>
      <c r="E26" s="7"/>
      <c r="F26" s="7"/>
      <c r="G26" s="7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</row>
  </sheetData>
  <mergeCells count="12">
    <mergeCell ref="A2:G4"/>
    <mergeCell ref="A5:G5"/>
    <mergeCell ref="A7:G7"/>
    <mergeCell ref="A9:B10"/>
    <mergeCell ref="C9:G10"/>
    <mergeCell ref="A12:B13"/>
    <mergeCell ref="C12:G13"/>
    <mergeCell ref="A16:G16"/>
    <mergeCell ref="A18:C18"/>
    <mergeCell ref="A20:C20"/>
    <mergeCell ref="A22:C22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customFormat="false" ht="15" hidden="false" customHeight="false" outlineLevel="0" collapsed="false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customFormat="false" ht="15" hidden="false" customHeight="false" outlineLevel="0" collapsed="false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19.5" hidden="false" customHeight="true" outlineLevel="0" collapsed="false">
      <c r="A5" s="1"/>
      <c r="B5" s="19" t="s">
        <v>25</v>
      </c>
      <c r="C5" s="19"/>
      <c r="D5" s="19"/>
      <c r="E5" s="19"/>
      <c r="F5" s="19"/>
      <c r="G5" s="19"/>
      <c r="H5" s="19"/>
      <c r="I5" s="20" t="s">
        <v>26</v>
      </c>
      <c r="J5" s="20"/>
      <c r="K5" s="20"/>
      <c r="L5" s="20"/>
    </row>
    <row r="6" customFormat="false" ht="36" hidden="false" customHeight="true" outlineLevel="0" collapsed="false">
      <c r="A6" s="21" t="s">
        <v>27</v>
      </c>
      <c r="B6" s="21" t="s">
        <v>28</v>
      </c>
      <c r="C6" s="21" t="s">
        <v>29</v>
      </c>
      <c r="D6" s="21" t="s">
        <v>30</v>
      </c>
      <c r="E6" s="21" t="s">
        <v>31</v>
      </c>
      <c r="F6" s="21" t="s">
        <v>32</v>
      </c>
      <c r="G6" s="21" t="s">
        <v>33</v>
      </c>
      <c r="H6" s="21" t="s">
        <v>34</v>
      </c>
      <c r="I6" s="21" t="s">
        <v>35</v>
      </c>
      <c r="J6" s="21" t="s">
        <v>36</v>
      </c>
      <c r="K6" s="21" t="s">
        <v>37</v>
      </c>
      <c r="L6" s="21" t="s">
        <v>38</v>
      </c>
    </row>
    <row r="7" customFormat="false" ht="19.5" hidden="false" customHeight="true" outlineLevel="0" collapsed="false">
      <c r="A7" s="22" t="s">
        <v>39</v>
      </c>
      <c r="B7" s="23" t="n">
        <v>2.75</v>
      </c>
      <c r="C7" s="23" t="n">
        <v>0.35</v>
      </c>
      <c r="D7" s="24" t="n">
        <v>0.25</v>
      </c>
      <c r="E7" s="23" t="n">
        <v>20</v>
      </c>
      <c r="F7" s="25" t="n">
        <f aca="false">IF(D7="","",D7*E7)</f>
        <v>5</v>
      </c>
      <c r="G7" s="26" t="n">
        <v>0.1</v>
      </c>
      <c r="H7" s="25" t="n">
        <f aca="false">IF(B7="","",(B7+C7+F7)*(1+G7))</f>
        <v>8.91</v>
      </c>
      <c r="I7" s="26" t="n">
        <v>0.3</v>
      </c>
      <c r="J7" s="27" t="n">
        <f aca="false">IF(OR(H7="",I7=1),"",H7/(1-I7))</f>
        <v>12.7285714285714</v>
      </c>
      <c r="K7" s="25" t="n">
        <f aca="false">IF(J7="","",J7-H7)</f>
        <v>3.81857142857143</v>
      </c>
      <c r="L7" s="28" t="n">
        <f aca="false">IF(OR(J7="",J7=0),"",K7/J7)</f>
        <v>0.3</v>
      </c>
    </row>
    <row r="8" customFormat="false" ht="19.5" hidden="false" customHeight="true" outlineLevel="0" collapsed="false">
      <c r="A8" s="29" t="s">
        <v>40</v>
      </c>
      <c r="B8" s="30" t="n">
        <v>4</v>
      </c>
      <c r="C8" s="30" t="n">
        <v>0.75</v>
      </c>
      <c r="D8" s="31" t="n">
        <v>0.75</v>
      </c>
      <c r="E8" s="30" t="n">
        <v>24</v>
      </c>
      <c r="F8" s="32" t="n">
        <f aca="false">IF(D8="","",D8*E8)</f>
        <v>18</v>
      </c>
      <c r="G8" s="26" t="n">
        <v>0.1</v>
      </c>
      <c r="H8" s="32" t="n">
        <f aca="false">IF(B8="","",(B8+C8+F8)*(1+G8))</f>
        <v>25.025</v>
      </c>
      <c r="I8" s="26" t="n">
        <v>0.35</v>
      </c>
      <c r="J8" s="33" t="n">
        <f aca="false">IF(OR(H8="",I8=1),"",H8/(1-I8))</f>
        <v>38.5</v>
      </c>
      <c r="K8" s="32" t="n">
        <f aca="false">IF(J8="","",J8-H8)</f>
        <v>13.475</v>
      </c>
      <c r="L8" s="34" t="n">
        <f aca="false">IF(OR(J8="",J8=0),"",K8/J8)</f>
        <v>0.35</v>
      </c>
    </row>
    <row r="9" customFormat="false" ht="19.5" hidden="false" customHeight="true" outlineLevel="0" collapsed="false">
      <c r="A9" s="22" t="s">
        <v>41</v>
      </c>
      <c r="B9" s="23" t="n">
        <v>8</v>
      </c>
      <c r="C9" s="23" t="n">
        <v>0</v>
      </c>
      <c r="D9" s="24" t="n">
        <v>0.75</v>
      </c>
      <c r="E9" s="23" t="n">
        <v>30</v>
      </c>
      <c r="F9" s="25" t="n">
        <f aca="false">IF(D9="","",D9*E9)</f>
        <v>22.5</v>
      </c>
      <c r="G9" s="26" t="n">
        <v>0.05</v>
      </c>
      <c r="H9" s="25" t="n">
        <f aca="false">IF(B9="","",(B9+C9+F9)*(1+G9))</f>
        <v>32.025</v>
      </c>
      <c r="I9" s="26" t="n">
        <v>0.35</v>
      </c>
      <c r="J9" s="27" t="n">
        <f aca="false">IF(OR(H9="",I9=1),"",H9/(1-I9))</f>
        <v>49.2692307692308</v>
      </c>
      <c r="K9" s="25" t="n">
        <f aca="false">IF(J9="","",J9-H9)</f>
        <v>17.2442307692308</v>
      </c>
      <c r="L9" s="28" t="n">
        <f aca="false">IF(OR(J9="",J9=0),"",K9/J9)</f>
        <v>0.35</v>
      </c>
    </row>
    <row r="10" customFormat="false" ht="19.5" hidden="false" customHeight="true" outlineLevel="0" collapsed="false">
      <c r="A10" s="29"/>
      <c r="B10" s="30"/>
      <c r="C10" s="30"/>
      <c r="D10" s="31"/>
      <c r="E10" s="30"/>
      <c r="F10" s="32" t="str">
        <f aca="false">IF(D10="","",D10*E10)</f>
        <v/>
      </c>
      <c r="G10" s="26"/>
      <c r="H10" s="32" t="str">
        <f aca="false">IF(B10="","",(B10+C10+F10)*(1+G10))</f>
        <v/>
      </c>
      <c r="I10" s="26"/>
      <c r="J10" s="33" t="str">
        <f aca="false">IF(OR(H10="",I10=1),"",H10/(1-I10))</f>
        <v/>
      </c>
      <c r="K10" s="32" t="str">
        <f aca="false">IF(J10="","",J10-H10)</f>
        <v/>
      </c>
      <c r="L10" s="34" t="str">
        <f aca="false">IF(OR(J10="",J10=0),"",K10/J10)</f>
        <v/>
      </c>
    </row>
    <row r="11" customFormat="false" ht="19.5" hidden="false" customHeight="true" outlineLevel="0" collapsed="false">
      <c r="A11" s="22"/>
      <c r="B11" s="23"/>
      <c r="C11" s="23"/>
      <c r="D11" s="24"/>
      <c r="E11" s="23"/>
      <c r="F11" s="25" t="str">
        <f aca="false">IF(D11="","",D11*E11)</f>
        <v/>
      </c>
      <c r="G11" s="26"/>
      <c r="H11" s="25" t="str">
        <f aca="false">IF(B11="","",(B11+C11+F11)*(1+G11))</f>
        <v/>
      </c>
      <c r="I11" s="26"/>
      <c r="J11" s="27" t="str">
        <f aca="false">IF(OR(H11="",I11=1),"",H11/(1-I11))</f>
        <v/>
      </c>
      <c r="K11" s="25" t="str">
        <f aca="false">IF(J11="","",J11-H11)</f>
        <v/>
      </c>
      <c r="L11" s="28" t="str">
        <f aca="false">IF(OR(J11="",J11=0),"",K11/J11)</f>
        <v/>
      </c>
    </row>
    <row r="12" customFormat="false" ht="19.5" hidden="false" customHeight="true" outlineLevel="0" collapsed="false">
      <c r="A12" s="29"/>
      <c r="B12" s="30"/>
      <c r="C12" s="30"/>
      <c r="D12" s="31"/>
      <c r="E12" s="30"/>
      <c r="F12" s="32" t="str">
        <f aca="false">IF(D12="","",D12*E12)</f>
        <v/>
      </c>
      <c r="G12" s="26"/>
      <c r="H12" s="32" t="str">
        <f aca="false">IF(B12="","",(B12+C12+F12)*(1+G12))</f>
        <v/>
      </c>
      <c r="I12" s="26"/>
      <c r="J12" s="33" t="str">
        <f aca="false">IF(OR(H12="",I12=1),"",H12/(1-I12))</f>
        <v/>
      </c>
      <c r="K12" s="32" t="str">
        <f aca="false">IF(J12="","",J12-H12)</f>
        <v/>
      </c>
      <c r="L12" s="34" t="str">
        <f aca="false">IF(OR(J12="",J12=0),"",K12/J12)</f>
        <v/>
      </c>
    </row>
    <row r="13" customFormat="false" ht="19.5" hidden="false" customHeight="true" outlineLevel="0" collapsed="false">
      <c r="A13" s="22"/>
      <c r="B13" s="23"/>
      <c r="C13" s="23"/>
      <c r="D13" s="24"/>
      <c r="E13" s="23"/>
      <c r="F13" s="25" t="str">
        <f aca="false">IF(D13="","",D13*E13)</f>
        <v/>
      </c>
      <c r="G13" s="26"/>
      <c r="H13" s="25" t="str">
        <f aca="false">IF(B13="","",(B13+C13+F13)*(1+G13))</f>
        <v/>
      </c>
      <c r="I13" s="26"/>
      <c r="J13" s="27" t="str">
        <f aca="false">IF(OR(H13="",I13=1),"",H13/(1-I13))</f>
        <v/>
      </c>
      <c r="K13" s="25" t="str">
        <f aca="false">IF(J13="","",J13-H13)</f>
        <v/>
      </c>
      <c r="L13" s="28" t="str">
        <f aca="false">IF(OR(J13="",J13=0),"",K13/J13)</f>
        <v/>
      </c>
    </row>
    <row r="14" customFormat="false" ht="19.5" hidden="false" customHeight="true" outlineLevel="0" collapsed="false">
      <c r="A14" s="29"/>
      <c r="B14" s="30"/>
      <c r="C14" s="30"/>
      <c r="D14" s="31"/>
      <c r="E14" s="30"/>
      <c r="F14" s="32" t="str">
        <f aca="false">IF(D14="","",D14*E14)</f>
        <v/>
      </c>
      <c r="G14" s="26"/>
      <c r="H14" s="32" t="str">
        <f aca="false">IF(B14="","",(B14+C14+F14)*(1+G14))</f>
        <v/>
      </c>
      <c r="I14" s="26"/>
      <c r="J14" s="33" t="str">
        <f aca="false">IF(OR(H14="",I14=1),"",H14/(1-I14))</f>
        <v/>
      </c>
      <c r="K14" s="32" t="str">
        <f aca="false">IF(J14="","",J14-H14)</f>
        <v/>
      </c>
      <c r="L14" s="34" t="str">
        <f aca="false">IF(OR(J14="",J14=0),"",K14/J14)</f>
        <v/>
      </c>
    </row>
    <row r="15" customFormat="false" ht="19.5" hidden="false" customHeight="true" outlineLevel="0" collapsed="false">
      <c r="A15" s="22"/>
      <c r="B15" s="23"/>
      <c r="C15" s="23"/>
      <c r="D15" s="24"/>
      <c r="E15" s="23"/>
      <c r="F15" s="25" t="str">
        <f aca="false">IF(D15="","",D15*E15)</f>
        <v/>
      </c>
      <c r="G15" s="26"/>
      <c r="H15" s="25" t="str">
        <f aca="false">IF(B15="","",(B15+C15+F15)*(1+G15))</f>
        <v/>
      </c>
      <c r="I15" s="26"/>
      <c r="J15" s="27" t="str">
        <f aca="false">IF(OR(H15="",I15=1),"",H15/(1-I15))</f>
        <v/>
      </c>
      <c r="K15" s="25" t="str">
        <f aca="false">IF(J15="","",J15-H15)</f>
        <v/>
      </c>
      <c r="L15" s="28" t="str">
        <f aca="false">IF(OR(J15="",J15=0),"",K15/J15)</f>
        <v/>
      </c>
    </row>
    <row r="16" customFormat="false" ht="19.5" hidden="false" customHeight="true" outlineLevel="0" collapsed="false">
      <c r="A16" s="29"/>
      <c r="B16" s="30"/>
      <c r="C16" s="30"/>
      <c r="D16" s="31"/>
      <c r="E16" s="30"/>
      <c r="F16" s="32" t="str">
        <f aca="false">IF(D16="","",D16*E16)</f>
        <v/>
      </c>
      <c r="G16" s="26"/>
      <c r="H16" s="32" t="str">
        <f aca="false">IF(B16="","",(B16+C16+F16)*(1+G16))</f>
        <v/>
      </c>
      <c r="I16" s="26"/>
      <c r="J16" s="33" t="str">
        <f aca="false">IF(OR(H16="",I16=1),"",H16/(1-I16))</f>
        <v/>
      </c>
      <c r="K16" s="32" t="str">
        <f aca="false">IF(J16="","",J16-H16)</f>
        <v/>
      </c>
      <c r="L16" s="34" t="str">
        <f aca="false">IF(OR(J16="",J16=0),"",K16/J16)</f>
        <v/>
      </c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15" hidden="false" customHeight="false" outlineLevel="0" collapsed="false">
      <c r="A19" s="35" t="s">
        <v>42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</sheetData>
  <mergeCells count="4">
    <mergeCell ref="A1:L3"/>
    <mergeCell ref="B5:H5"/>
    <mergeCell ref="I5:L5"/>
    <mergeCell ref="A19:L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2026-08-24T21:51:01Z</dcterms:created>
  <dc:creator>openpyxl</dc:creator>
  <dc:description/>
  <dc:language>en-US</dc:language>
  <cp:lastModifiedBy/>
  <dcterms:modified xsi:type="dcterms:W3CDTF">2026-08-24T21:51:01Z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